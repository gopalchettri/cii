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opalChettri\Projects\desc-ai-modules\cii\docs\"/>
    </mc:Choice>
  </mc:AlternateContent>
  <xr:revisionPtr revIDLastSave="0" documentId="13_ncr:1_{F3A945C0-B58F-4689-A814-7365B72028A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lan" sheetId="1" r:id="rId1"/>
    <sheet name="Backtrack" sheetId="2" r:id="rId2"/>
    <sheet name="Config Checklist" sheetId="3" r:id="rId3"/>
    <sheet name="Modules" sheetId="4" r:id="rId4"/>
    <sheet name="Ris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F24" i="1"/>
  <c r="E24" i="1"/>
  <c r="F23" i="1" l="1"/>
  <c r="E23" i="1" s="1"/>
  <c r="F21" i="1"/>
  <c r="E21" i="1" s="1"/>
  <c r="F20" i="1" l="1"/>
  <c r="E20" i="1" s="1"/>
  <c r="F19" i="1"/>
  <c r="E19" i="1" s="1"/>
  <c r="F17" i="1" l="1"/>
  <c r="E17" i="1" s="1"/>
  <c r="F16" i="1"/>
  <c r="E16" i="1" s="1"/>
  <c r="F15" i="1" s="1"/>
  <c r="E15" i="1" s="1"/>
  <c r="F10" i="1" l="1"/>
  <c r="E10" i="1" s="1"/>
  <c r="F12" i="1"/>
  <c r="E12" i="1" s="1"/>
  <c r="F9" i="1" s="1"/>
  <c r="E9" i="1" s="1"/>
  <c r="F13" i="1"/>
  <c r="E13" i="1" s="1"/>
  <c r="F7" i="1" l="1"/>
  <c r="E7" i="1" s="1"/>
  <c r="F6" i="1" s="1"/>
  <c r="E6" i="1" s="1"/>
  <c r="B9" i="2" l="1"/>
  <c r="B8" i="2"/>
  <c r="B10" i="2" l="1"/>
  <c r="B11" i="2"/>
</calcChain>
</file>

<file path=xl/sharedStrings.xml><?xml version="1.0" encoding="utf-8"?>
<sst xmlns="http://schemas.openxmlformats.org/spreadsheetml/2006/main" count="305" uniqueCount="199">
  <si>
    <t>Final end date</t>
  </si>
  <si>
    <t>Plan date (today)</t>
  </si>
  <si>
    <t>S. No</t>
  </si>
  <si>
    <t>Phase</t>
  </si>
  <si>
    <t>Task</t>
  </si>
  <si>
    <t>Details / Deliverable</t>
  </si>
  <si>
    <t>Start</t>
  </si>
  <si>
    <t>End</t>
  </si>
  <si>
    <t>Days</t>
  </si>
  <si>
    <t>Owner</t>
  </si>
  <si>
    <t>Status</t>
  </si>
  <si>
    <t>Notes</t>
  </si>
  <si>
    <t>Prerequisites and Foundations</t>
  </si>
  <si>
    <t>Close open items</t>
  </si>
  <si>
    <t>Confirm the service-to-sector link table (name, columns), inventory size, entity_id format, and the AI-suggestion default. Get a sample of onboarding_services data.</t>
  </si>
  <si>
    <t>TBD</t>
  </si>
  <si>
    <t>Not Started</t>
  </si>
  <si>
    <t>No predecessor. Blocker: without the sector link, sector / sub-sector / cross_sector show as null.</t>
  </si>
  <si>
    <t>Constants, settings and models</t>
  </si>
  <si>
    <t>Constants file, .env settings (counts, temperature, AI flag, shortlist size, pending limit), request/response/AI models, enums.</t>
  </si>
  <si>
    <t>After task 1.</t>
  </si>
  <si>
    <t>Database and Data Access</t>
  </si>
  <si>
    <t>Stored procedures</t>
  </si>
  <si>
    <t>Mapping context (names + all services with sector/sub-sector) and entity services; grants; test schema and seed.</t>
  </si>
  <si>
    <t>After task 1. New procedures must be deployed by the DBA before the app.</t>
  </si>
  <si>
    <t>Mongo record and repository</t>
  </si>
  <si>
    <t>tsg_service_maps: mapping, recommendations, decisions, generations; indexes; compare-and-set for decisions.</t>
  </si>
  <si>
    <t>After task 2.</t>
  </si>
  <si>
    <t>Engine (AI Logic)</t>
  </si>
  <si>
    <t>Shortlist step</t>
  </si>
  <si>
    <t>Rank all services across sectors by meaning (cached embeddings), remove the selected service and names already seen, keep top K.</t>
  </si>
  <si>
    <t>After task 2, 3. Fallback: reranker if quality is poor.</t>
  </si>
  <si>
    <t>Prompt, AI call and assembly</t>
  </si>
  <si>
    <t>Numbered shortlist prompt, one AI call, turn picks into recommendations, mark 'AI suggested', apply counts and temperature settings.</t>
  </si>
  <si>
    <t>Job, Worker and APIs</t>
  </si>
  <si>
    <t>Background job and dedicated worker</t>
  </si>
  <si>
    <t>Celery task on its own queue (tsg_service_map), lease and retry, run.ps1 and RUNNING.md worker entry.</t>
  </si>
  <si>
    <t>After task 4, 5, 6. Ops support needed to start the new worker.</t>
  </si>
  <si>
    <t>Service layer and APIs 1 to 5</t>
  </si>
  <si>
    <t>Create, Get, Entity services, Regenerate, Decide; audit, idempotency, error responses, overload guard.</t>
  </si>
  <si>
    <t>After task 4, 7.</t>
  </si>
  <si>
    <t>Live status (SSE)</t>
  </si>
  <si>
    <t>Add the channel to the realtime publisher and the events route; status events from the worker.</t>
  </si>
  <si>
    <t>After task 7. First item to defer if time runs out.</t>
  </si>
  <si>
    <t>Testing and Stabilization</t>
  </si>
  <si>
    <t>Automated tests and checks</t>
  </si>
  <si>
    <t>Unit and integration tests with a fake AI, layering test, ruff and mypy.</t>
  </si>
  <si>
    <t>After task 8, 9.</t>
  </si>
  <si>
    <t>End-to-end test</t>
  </si>
  <si>
    <t>Create, live status, review, regenerate on a real database and model; cross-sector check; small burst test (about 50 jobs).</t>
  </si>
  <si>
    <t>Bug fixing and retest</t>
  </si>
  <si>
    <t>Fix defects found, redeploy, retest.</t>
  </si>
  <si>
    <t>After task 10, 11.</t>
  </si>
  <si>
    <t>Closing</t>
  </si>
  <si>
    <t>Documentation</t>
  </si>
  <si>
    <t>Update RUNNING.md, BLUEPRINT entry and the API workbook.</t>
  </si>
  <si>
    <t>After task 8.</t>
  </si>
  <si>
    <t>Final check and handover</t>
  </si>
  <si>
    <t>Verify the checklist, known issues, and walk through the demo.</t>
  </si>
  <si>
    <t>After task 12, 13.</t>
  </si>
  <si>
    <t>How the dates work: each task ENDS the working day before the earliest start of the tasks that depend on it; Start = End minus Days (Mon-Fri, no holidays). The last task ends on the Final end date.</t>
  </si>
  <si>
    <t>Blue = inputs you can change (Final end date, Plan date, Days). Change one and every date moves. Red dates fall before the Plan date, so that work should already have started.</t>
  </si>
  <si>
    <t>Yellow = integration and testing dates that must not slip. Tasks with the same dates run in parallel, which needs more than one person.</t>
  </si>
  <si>
    <t>Owner is TBD. Durations and dependencies are the author's estimates, to be reviewed with the team.</t>
  </si>
  <si>
    <t>Back-track check: can the end date be met?</t>
  </si>
  <si>
    <t>Measure</t>
  </si>
  <si>
    <t>Value</t>
  </si>
  <si>
    <t>How it is calculated</t>
  </si>
  <si>
    <t>Input on the Plan tab</t>
  </si>
  <si>
    <t>Working days available (plan date to end date)</t>
  </si>
  <si>
    <t>Mon-Fri, both days included</t>
  </si>
  <si>
    <t>Start date required to finish on the end date</t>
  </si>
  <si>
    <t>Earliest Start after back-tracking all tasks</t>
  </si>
  <si>
    <t>Working days the plan needs (longest chain)</t>
  </si>
  <si>
    <t>From the required start to the end date</t>
  </si>
  <si>
    <t>Working days short</t>
  </si>
  <si>
    <t>Needed minus available</t>
  </si>
  <si>
    <t>Earliest finish if work starts on the plan date</t>
  </si>
  <si>
    <t>Plan date plus the days the plan needs</t>
  </si>
  <si>
    <t>Options if the plan is short of days (author's assessment)</t>
  </si>
  <si>
    <t>1. Move the end date to the 'Earliest finish' date above.</t>
  </si>
  <si>
    <t>2. Keep the end date and shorten the tasks that run back to back (reduce their Days or cut their scope) until 'Working days short' is 0.</t>
  </si>
  <si>
    <t>3. Add people: this only helps tasks that can run in parallel; it does not shorten the longest chain.</t>
  </si>
  <si>
    <t>Service Mapper Configuration Checklist</t>
  </si>
  <si>
    <t>Setting / Item</t>
  </si>
  <si>
    <t>Where</t>
  </si>
  <si>
    <t>Default / Value</t>
  </si>
  <si>
    <t>Purpose</t>
  </si>
  <si>
    <t>CII_SERVICE_MAP_AI_GENERATE</t>
  </si>
  <si>
    <t>.env</t>
  </si>
  <si>
    <t>false</t>
  </si>
  <si>
    <t>Allow AI-suggested services that are not in the inventory</t>
  </si>
  <si>
    <t>Management decision (summary item 2)</t>
  </si>
  <si>
    <t>CII_SERVICE_MAPPER_DEFAULT_COUNT</t>
  </si>
  <si>
    <t>5</t>
  </si>
  <si>
    <t>Suggestions per direction on create</t>
  </si>
  <si>
    <t>Hard ceiling 20</t>
  </si>
  <si>
    <t>CII_SERVICE_MAPPER_REGENERATE_DEFAULT_COUNT</t>
  </si>
  <si>
    <t>3</t>
  </si>
  <si>
    <t>Suggestions per direction on regenerate</t>
  </si>
  <si>
    <t>CII_SERVICE_MAPPER_TEMPERATURE</t>
  </si>
  <si>
    <t>blank (not sent)</t>
  </si>
  <si>
    <t>Model temperature on create</t>
  </si>
  <si>
    <t>Used only if the model accepts a changed temperature</t>
  </si>
  <si>
    <t>CII_SERVICE_MAPPER_REGENERATE_TEMPERATURE</t>
  </si>
  <si>
    <t>Temperature on regenerate</t>
  </si>
  <si>
    <t>Slightly higher reduces repeats</t>
  </si>
  <si>
    <t>CII_SERVICE_MAPPER_SHORTLIST_SIZE</t>
  </si>
  <si>
    <t>60</t>
  </si>
  <si>
    <t>Services sent to the AI after shortlisting</t>
  </si>
  <si>
    <t>Check on real inventory size</t>
  </si>
  <si>
    <t>CII_SERVICE_MAP_MAX_PENDING</t>
  </si>
  <si>
    <t>Queued + running jobs above this get 503</t>
  </si>
  <si>
    <t>Set after the burst test</t>
  </si>
  <si>
    <t>Service-to-sector link table</t>
  </si>
  <si>
    <t>Database</t>
  </si>
  <si>
    <t>Needed for sector / sub-sector / cross_sector</t>
  </si>
  <si>
    <t>Name and columns not yet known</t>
  </si>
  <si>
    <t>Stored procedures deployed</t>
  </si>
  <si>
    <t>-</t>
  </si>
  <si>
    <t>Mapping context, entity services, grants</t>
  </si>
  <si>
    <t>DBA deploys before the app</t>
  </si>
  <si>
    <t>Celery queue tsg_service_map and worker</t>
  </si>
  <si>
    <t>Deployment</t>
  </si>
  <si>
    <t>Dedicated worker, 10 threads</t>
  </si>
  <si>
    <t>/ready needs a live worker on every routed queue</t>
  </si>
  <si>
    <t>MongoDB collection tsg_service_maps</t>
  </si>
  <si>
    <t>Created with indexes at start-up</t>
  </si>
  <si>
    <t>No expiry; decisions persist</t>
  </si>
  <si>
    <t>Service Mapper Modules</t>
  </si>
  <si>
    <t>Module</t>
  </si>
  <si>
    <t>Files (proposed paths)</t>
  </si>
  <si>
    <t>Reuses (existing)</t>
  </si>
  <si>
    <t>Plan task #</t>
  </si>
  <si>
    <t>Constants and settings</t>
  </si>
  <si>
    <t>app/core/constants/service_map.py; app/core/config.py</t>
  </si>
  <si>
    <t>Existing constants package</t>
  </si>
  <si>
    <t>Models</t>
  </si>
  <si>
    <t>app/models/service_map.py</t>
  </si>
  <si>
    <t>Existing pydantic patterns</t>
  </si>
  <si>
    <t>scripts/sql/ (2 new .sql files); grants.sql; tests/sql/*</t>
  </si>
  <si>
    <t>tsg_GetAssetContext pattern</t>
  </si>
  <si>
    <t>Reference data access</t>
  </si>
  <si>
    <t>app/data_access/service_map_context.py</t>
  </si>
  <si>
    <t>asset_context.py</t>
  </si>
  <si>
    <t>Mapping repository</t>
  </si>
  <si>
    <t>app/data_access/service_maps.py; indexes.py</t>
  </si>
  <si>
    <t>job_records.py, remediations.py</t>
  </si>
  <si>
    <t>Shortlist</t>
  </si>
  <si>
    <t>app/engine/service_map/ (new)</t>
  </si>
  <si>
    <t>EmbeddingModel.embed_search_queries; name_match_key</t>
  </si>
  <si>
    <t>Prompt and mapper</t>
  </si>
  <si>
    <t>app/engine/service_map/</t>
  </si>
  <si>
    <t>remediation planner pattern; ChatModel</t>
  </si>
  <si>
    <t>Background job</t>
  </si>
  <si>
    <t>app/worker/tasks/service_map.py; celery_app.py</t>
  </si>
  <si>
    <t>run_leased_job, send_job</t>
  </si>
  <si>
    <t>Service layer</t>
  </si>
  <si>
    <t>app/services/service_map/</t>
  </si>
  <si>
    <t>services/scenarios/runs.py; record_audit</t>
  </si>
  <si>
    <t>API router</t>
  </si>
  <si>
    <t>app/api/routers/service_map.py; app/main.py</t>
  </si>
  <si>
    <t>routers/remediation.py</t>
  </si>
  <si>
    <t>Live status</t>
  </si>
  <si>
    <t>app/realtime/publisher.py; app/api/routers/events.py</t>
  </si>
  <si>
    <t>Existing event hub</t>
  </si>
  <si>
    <t>Tests</t>
  </si>
  <si>
    <t>tests/test_service_map.py; tests/test_sql_procedures.py</t>
  </si>
  <si>
    <t>FakeChatModel</t>
  </si>
  <si>
    <t>Paths are proposals based on the repo's layering; the shortlist module is new compared with the earlier design documents.</t>
  </si>
  <si>
    <t>Service Mapper Risks</t>
  </si>
  <si>
    <t>Risk</t>
  </si>
  <si>
    <t>Impact</t>
  </si>
  <si>
    <t>Likelihood</t>
  </si>
  <si>
    <t>Mitigation</t>
  </si>
  <si>
    <t>Plan needs more working days than are left (see Backtrack tab)</t>
  </si>
  <si>
    <t>High</t>
  </si>
  <si>
    <t>Back-tracked from the end date, development had to start earlier than the plan date. Move the end date, cut scope on the back-to-back tasks, or shorten their durations; extra people only help tasks that run in parallel.</t>
  </si>
  <si>
    <t>Open</t>
  </si>
  <si>
    <t>Service-to-sector link table not confirmed</t>
  </si>
  <si>
    <t>Answer on day 1. Until then show sector fields as null.</t>
  </si>
  <si>
    <t>Inventory size unknown</t>
  </si>
  <si>
    <t>Medium</t>
  </si>
  <si>
    <t>Check on day 1; adjust shortlist size; reranker fallback.</t>
  </si>
  <si>
    <t>Stored procedures need DBA deployment</t>
  </si>
  <si>
    <t>Send scripts early; agree a deployment slot.</t>
  </si>
  <si>
    <t>New worker and queue need ops support</t>
  </si>
  <si>
    <t>Raise the request early; /ready fails without a live worker.</t>
  </si>
  <si>
    <t>AI model is slow (up to 99 s on the slower model)</t>
  </si>
  <si>
    <t>Users wait in a queue; use live status; confirm model for UAT.</t>
  </si>
  <si>
    <t>Shortlist quality is unverified</t>
  </si>
  <si>
    <t>Review on real data in task 11; switch to reranker if poor.</t>
  </si>
  <si>
    <t>Answer rules rely on the prompt only</t>
  </si>
  <si>
    <t>Accepted for v1; add a small code check if quality is poor.</t>
  </si>
  <si>
    <t>No role model: any user of the owning entity can decide</t>
  </si>
  <si>
    <t>Low</t>
  </si>
  <si>
    <t>Confirm with management (summary item 3).</t>
  </si>
  <si>
    <t>Impact and likelihood are the author's assessment, to be reviewed with the team.</t>
  </si>
  <si>
    <t>Service Mapper Build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</si>
</sst>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d\-mmm"/>
    <numFmt numFmtId="166" formatCode="ddd\ dd\-mmm\-yyyy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sz val="11"/>
      <color rgb="FFC00000"/>
      <name val="Calibri"/>
    </font>
    <font>
      <i/>
      <sz val="10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D5C"/>
      </patternFill>
    </fill>
    <fill>
      <patternFill patternType="solid">
        <fgColor rgb="FFCFD8E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166" fontId="6" fillId="0" borderId="0" xfId="0" applyNumberFormat="1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166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">
    <dxf>
      <font>
        <b/>
        <sz val="11"/>
        <color rgb="FFC00000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4" topLeftCell="A5" activePane="bottomLeft" state="frozen"/>
      <selection pane="bottomLeft" activeCell="D3" sqref="D3"/>
    </sheetView>
  </sheetViews>
  <sheetFormatPr defaultRowHeight="14.4" x14ac:dyDescent="0.3"/>
  <cols>
    <col min="1" max="1" width="7" customWidth="1"/>
    <col min="2" max="2" width="30" customWidth="1"/>
    <col min="3" max="3" width="34" customWidth="1"/>
    <col min="4" max="4" width="62" customWidth="1"/>
    <col min="5" max="6" width="14" customWidth="1"/>
    <col min="7" max="7" width="7" customWidth="1"/>
    <col min="8" max="9" width="14" customWidth="1"/>
    <col min="10" max="10" width="52" customWidth="1"/>
  </cols>
  <sheetData>
    <row r="1" spans="1:10" ht="24" customHeight="1" x14ac:dyDescent="0.3">
      <c r="A1" s="16" t="s">
        <v>198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">
      <c r="B2" s="1" t="s">
        <v>0</v>
      </c>
      <c r="C2" s="2">
        <v>46318</v>
      </c>
      <c r="D2" s="3"/>
    </row>
    <row r="3" spans="1:10" x14ac:dyDescent="0.3">
      <c r="B3" s="1"/>
      <c r="C3" s="2"/>
      <c r="D3" s="3"/>
    </row>
    <row r="4" spans="1:10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3">
      <c r="A5" s="5"/>
      <c r="B5" s="6" t="s">
        <v>12</v>
      </c>
      <c r="C5" s="5"/>
      <c r="D5" s="5"/>
      <c r="E5" s="5"/>
      <c r="F5" s="5"/>
      <c r="G5" s="5"/>
      <c r="H5" s="5"/>
      <c r="I5" s="5"/>
      <c r="J5" s="5"/>
    </row>
    <row r="6" spans="1:10" ht="43.2" x14ac:dyDescent="0.3">
      <c r="A6" s="7">
        <v>1</v>
      </c>
      <c r="B6" s="8"/>
      <c r="C6" s="8" t="s">
        <v>13</v>
      </c>
      <c r="D6" s="8" t="s">
        <v>14</v>
      </c>
      <c r="E6" s="9">
        <f>WORKDAY(F6,-(G6-1))</f>
        <v>46302</v>
      </c>
      <c r="F6" s="9">
        <f>WORKDAY(MIN(E7,E9),-1)</f>
        <v>46302</v>
      </c>
      <c r="G6" s="10">
        <v>1</v>
      </c>
      <c r="H6" s="7" t="s">
        <v>15</v>
      </c>
      <c r="I6" s="7" t="s">
        <v>16</v>
      </c>
      <c r="J6" s="8" t="s">
        <v>17</v>
      </c>
    </row>
    <row r="7" spans="1:10" ht="28.8" x14ac:dyDescent="0.3">
      <c r="A7" s="7">
        <v>2</v>
      </c>
      <c r="B7" s="8"/>
      <c r="C7" s="8" t="s">
        <v>18</v>
      </c>
      <c r="D7" s="8" t="s">
        <v>19</v>
      </c>
      <c r="E7" s="9">
        <f>WORKDAY(F7,-(G7-1))</f>
        <v>46303</v>
      </c>
      <c r="F7" s="9">
        <f>WORKDAY(MIN(E10,E12,E13),-1)</f>
        <v>46304</v>
      </c>
      <c r="G7" s="10">
        <v>2</v>
      </c>
      <c r="H7" s="7" t="s">
        <v>15</v>
      </c>
      <c r="I7" s="7" t="s">
        <v>16</v>
      </c>
      <c r="J7" s="8" t="s">
        <v>20</v>
      </c>
    </row>
    <row r="8" spans="1:10" x14ac:dyDescent="0.3">
      <c r="A8" s="5"/>
      <c r="B8" s="6" t="s">
        <v>21</v>
      </c>
      <c r="C8" s="5"/>
      <c r="D8" s="5"/>
      <c r="E8" s="5"/>
      <c r="F8" s="5"/>
      <c r="G8" s="5"/>
      <c r="H8" s="5"/>
      <c r="I8" s="5"/>
      <c r="J8" s="5"/>
    </row>
    <row r="9" spans="1:10" ht="28.8" x14ac:dyDescent="0.3">
      <c r="A9" s="7">
        <v>3</v>
      </c>
      <c r="B9" s="8"/>
      <c r="C9" s="8" t="s">
        <v>22</v>
      </c>
      <c r="D9" s="8" t="s">
        <v>23</v>
      </c>
      <c r="E9" s="9">
        <f>WORKDAY(F9,-(G9-1))</f>
        <v>46303</v>
      </c>
      <c r="F9" s="9">
        <f>WORKDAY(MIN(E12),-1)</f>
        <v>46304</v>
      </c>
      <c r="G9" s="10">
        <v>2</v>
      </c>
      <c r="H9" s="7" t="s">
        <v>15</v>
      </c>
      <c r="I9" s="7" t="s">
        <v>16</v>
      </c>
      <c r="J9" s="8" t="s">
        <v>24</v>
      </c>
    </row>
    <row r="10" spans="1:10" ht="28.8" x14ac:dyDescent="0.3">
      <c r="A10" s="7">
        <v>4</v>
      </c>
      <c r="B10" s="8"/>
      <c r="C10" s="8" t="s">
        <v>25</v>
      </c>
      <c r="D10" s="8" t="s">
        <v>26</v>
      </c>
      <c r="E10" s="9">
        <f>WORKDAY(F10,-(G10-1))</f>
        <v>46308</v>
      </c>
      <c r="F10" s="9">
        <f>WORKDAY(MIN(E15,E16),-1)</f>
        <v>46308</v>
      </c>
      <c r="G10" s="10">
        <v>1</v>
      </c>
      <c r="H10" s="7" t="s">
        <v>15</v>
      </c>
      <c r="I10" s="7" t="s">
        <v>16</v>
      </c>
      <c r="J10" s="8" t="s">
        <v>27</v>
      </c>
    </row>
    <row r="11" spans="1:10" x14ac:dyDescent="0.3">
      <c r="A11" s="5"/>
      <c r="B11" s="6" t="s">
        <v>28</v>
      </c>
      <c r="C11" s="5"/>
      <c r="D11" s="5"/>
      <c r="E11" s="5"/>
      <c r="F11" s="5"/>
      <c r="G11" s="5"/>
      <c r="H11" s="5"/>
      <c r="I11" s="5"/>
      <c r="J11" s="5"/>
    </row>
    <row r="12" spans="1:10" ht="28.8" x14ac:dyDescent="0.3">
      <c r="A12" s="7">
        <v>5</v>
      </c>
      <c r="B12" s="8"/>
      <c r="C12" s="8" t="s">
        <v>29</v>
      </c>
      <c r="D12" s="8" t="s">
        <v>30</v>
      </c>
      <c r="E12" s="9">
        <f>WORKDAY(F12,-(G12-1))</f>
        <v>46307</v>
      </c>
      <c r="F12" s="9">
        <f>WORKDAY(MIN(E15),-1)</f>
        <v>46308</v>
      </c>
      <c r="G12" s="10">
        <v>2</v>
      </c>
      <c r="H12" s="7" t="s">
        <v>15</v>
      </c>
      <c r="I12" s="7" t="s">
        <v>16</v>
      </c>
      <c r="J12" s="8" t="s">
        <v>31</v>
      </c>
    </row>
    <row r="13" spans="1:10" ht="43.2" x14ac:dyDescent="0.3">
      <c r="A13" s="7">
        <v>6</v>
      </c>
      <c r="B13" s="8"/>
      <c r="C13" s="8" t="s">
        <v>32</v>
      </c>
      <c r="D13" s="8" t="s">
        <v>33</v>
      </c>
      <c r="E13" s="9">
        <f>WORKDAY(F13,-(G13-1))</f>
        <v>46307</v>
      </c>
      <c r="F13" s="9">
        <f>WORKDAY(MIN(E15),-1)</f>
        <v>46308</v>
      </c>
      <c r="G13" s="10">
        <v>2</v>
      </c>
      <c r="H13" s="7" t="s">
        <v>15</v>
      </c>
      <c r="I13" s="7" t="s">
        <v>16</v>
      </c>
      <c r="J13" s="8" t="s">
        <v>27</v>
      </c>
    </row>
    <row r="14" spans="1:10" x14ac:dyDescent="0.3">
      <c r="A14" s="5"/>
      <c r="B14" s="6" t="s">
        <v>34</v>
      </c>
      <c r="C14" s="5"/>
      <c r="D14" s="5"/>
      <c r="E14" s="5"/>
      <c r="F14" s="5"/>
      <c r="G14" s="5"/>
      <c r="H14" s="5"/>
      <c r="I14" s="5"/>
      <c r="J14" s="5"/>
    </row>
    <row r="15" spans="1:10" ht="28.8" x14ac:dyDescent="0.3">
      <c r="A15" s="7">
        <v>7</v>
      </c>
      <c r="B15" s="8"/>
      <c r="C15" s="8" t="s">
        <v>35</v>
      </c>
      <c r="D15" s="8" t="s">
        <v>36</v>
      </c>
      <c r="E15" s="9">
        <f>WORKDAY(F15,-(G15-1))</f>
        <v>46309</v>
      </c>
      <c r="F15" s="9">
        <f>WORKDAY(MIN(E16,E17),-1)</f>
        <v>46309</v>
      </c>
      <c r="G15" s="10">
        <v>1</v>
      </c>
      <c r="H15" s="7" t="s">
        <v>15</v>
      </c>
      <c r="I15" s="7" t="s">
        <v>16</v>
      </c>
      <c r="J15" s="8" t="s">
        <v>37</v>
      </c>
    </row>
    <row r="16" spans="1:10" ht="28.8" x14ac:dyDescent="0.3">
      <c r="A16" s="7">
        <v>8</v>
      </c>
      <c r="B16" s="8"/>
      <c r="C16" s="8" t="s">
        <v>38</v>
      </c>
      <c r="D16" s="8" t="s">
        <v>39</v>
      </c>
      <c r="E16" s="9">
        <f>WORKDAY(F16,-(G16-1))</f>
        <v>46310</v>
      </c>
      <c r="F16" s="9">
        <f>WORKDAY(MIN(E19,E20,E23),-1)</f>
        <v>46311</v>
      </c>
      <c r="G16" s="10">
        <v>2</v>
      </c>
      <c r="H16" s="7" t="s">
        <v>15</v>
      </c>
      <c r="I16" s="7" t="s">
        <v>16</v>
      </c>
      <c r="J16" s="8" t="s">
        <v>40</v>
      </c>
    </row>
    <row r="17" spans="1:10" ht="28.8" x14ac:dyDescent="0.3">
      <c r="A17" s="7">
        <v>9</v>
      </c>
      <c r="B17" s="8"/>
      <c r="C17" s="8" t="s">
        <v>41</v>
      </c>
      <c r="D17" s="8" t="s">
        <v>42</v>
      </c>
      <c r="E17" s="9">
        <f>WORKDAY(F17,-(G17-1))</f>
        <v>46311</v>
      </c>
      <c r="F17" s="9">
        <f>WORKDAY(MIN(E19,E20),-1)</f>
        <v>46311</v>
      </c>
      <c r="G17" s="10">
        <v>1</v>
      </c>
      <c r="H17" s="7" t="s">
        <v>15</v>
      </c>
      <c r="I17" s="7" t="s">
        <v>16</v>
      </c>
      <c r="J17" s="8" t="s">
        <v>43</v>
      </c>
    </row>
    <row r="18" spans="1:10" x14ac:dyDescent="0.3">
      <c r="A18" s="5"/>
      <c r="B18" s="6" t="s">
        <v>44</v>
      </c>
      <c r="C18" s="5"/>
      <c r="D18" s="5"/>
      <c r="E18" s="5"/>
      <c r="F18" s="5"/>
      <c r="G18" s="5"/>
      <c r="H18" s="5"/>
      <c r="I18" s="5"/>
      <c r="J18" s="5"/>
    </row>
    <row r="19" spans="1:10" x14ac:dyDescent="0.3">
      <c r="A19" s="7">
        <v>10</v>
      </c>
      <c r="B19" s="8"/>
      <c r="C19" s="8" t="s">
        <v>45</v>
      </c>
      <c r="D19" s="8" t="s">
        <v>46</v>
      </c>
      <c r="E19" s="11">
        <f>WORKDAY(F19,-(G19-1))</f>
        <v>46314</v>
      </c>
      <c r="F19" s="11">
        <f>WORKDAY(MIN(E21),-1)</f>
        <v>46315</v>
      </c>
      <c r="G19" s="10">
        <v>2</v>
      </c>
      <c r="H19" s="7" t="s">
        <v>15</v>
      </c>
      <c r="I19" s="7" t="s">
        <v>16</v>
      </c>
      <c r="J19" s="8" t="s">
        <v>47</v>
      </c>
    </row>
    <row r="20" spans="1:10" ht="28.8" x14ac:dyDescent="0.3">
      <c r="A20" s="7">
        <v>11</v>
      </c>
      <c r="B20" s="8"/>
      <c r="C20" s="8" t="s">
        <v>48</v>
      </c>
      <c r="D20" s="8" t="s">
        <v>49</v>
      </c>
      <c r="E20" s="11">
        <f>WORKDAY(F20,-(G20-1))</f>
        <v>46315</v>
      </c>
      <c r="F20" s="11">
        <f>WORKDAY(MIN(E21),-1)</f>
        <v>46315</v>
      </c>
      <c r="G20" s="10">
        <v>1</v>
      </c>
      <c r="H20" s="7" t="s">
        <v>15</v>
      </c>
      <c r="I20" s="7" t="s">
        <v>16</v>
      </c>
      <c r="J20" s="8" t="s">
        <v>47</v>
      </c>
    </row>
    <row r="21" spans="1:10" x14ac:dyDescent="0.3">
      <c r="A21" s="7">
        <v>12</v>
      </c>
      <c r="B21" s="8"/>
      <c r="C21" s="8" t="s">
        <v>50</v>
      </c>
      <c r="D21" s="8" t="s">
        <v>51</v>
      </c>
      <c r="E21" s="11">
        <f>WORKDAY(F21,-(G21-1))</f>
        <v>46316</v>
      </c>
      <c r="F21" s="11">
        <f>WORKDAY(MIN(E24),-1)</f>
        <v>46317</v>
      </c>
      <c r="G21" s="10">
        <v>2</v>
      </c>
      <c r="H21" s="7" t="s">
        <v>15</v>
      </c>
      <c r="I21" s="7" t="s">
        <v>16</v>
      </c>
      <c r="J21" s="8" t="s">
        <v>52</v>
      </c>
    </row>
    <row r="22" spans="1:10" x14ac:dyDescent="0.3">
      <c r="A22" s="5"/>
      <c r="B22" s="6" t="s">
        <v>53</v>
      </c>
      <c r="C22" s="5"/>
      <c r="D22" s="5"/>
      <c r="E22" s="5"/>
      <c r="F22" s="5"/>
      <c r="G22" s="5"/>
      <c r="H22" s="5"/>
      <c r="I22" s="5"/>
      <c r="J22" s="5"/>
    </row>
    <row r="23" spans="1:10" x14ac:dyDescent="0.3">
      <c r="A23" s="7">
        <v>13</v>
      </c>
      <c r="B23" s="8"/>
      <c r="C23" s="8" t="s">
        <v>54</v>
      </c>
      <c r="D23" s="8" t="s">
        <v>55</v>
      </c>
      <c r="E23" s="9">
        <f>WORKDAY(F23,-(G23-1))</f>
        <v>46317</v>
      </c>
      <c r="F23" s="9">
        <f>WORKDAY(MIN(E24),-1)</f>
        <v>46317</v>
      </c>
      <c r="G23" s="10">
        <v>1</v>
      </c>
      <c r="H23" s="7" t="s">
        <v>15</v>
      </c>
      <c r="I23" s="7" t="s">
        <v>16</v>
      </c>
      <c r="J23" s="8" t="s">
        <v>56</v>
      </c>
    </row>
    <row r="24" spans="1:10" x14ac:dyDescent="0.3">
      <c r="A24" s="7">
        <v>14</v>
      </c>
      <c r="B24" s="8"/>
      <c r="C24" s="8" t="s">
        <v>57</v>
      </c>
      <c r="D24" s="8" t="s">
        <v>58</v>
      </c>
      <c r="E24" s="9">
        <f>WORKDAY(F24,-(G24-1))</f>
        <v>46318</v>
      </c>
      <c r="F24" s="9">
        <f>$C$2</f>
        <v>46318</v>
      </c>
      <c r="G24" s="10">
        <v>1</v>
      </c>
      <c r="H24" s="7" t="s">
        <v>15</v>
      </c>
      <c r="I24" s="7" t="s">
        <v>16</v>
      </c>
      <c r="J24" s="8" t="s">
        <v>59</v>
      </c>
    </row>
    <row r="26" spans="1:10" x14ac:dyDescent="0.3">
      <c r="A26" s="12" t="s">
        <v>60</v>
      </c>
    </row>
    <row r="27" spans="1:10" x14ac:dyDescent="0.3">
      <c r="A27" s="12" t="s">
        <v>61</v>
      </c>
    </row>
    <row r="28" spans="1:10" x14ac:dyDescent="0.3">
      <c r="A28" s="12" t="s">
        <v>62</v>
      </c>
    </row>
    <row r="29" spans="1:10" x14ac:dyDescent="0.3">
      <c r="A29" s="12" t="s">
        <v>63</v>
      </c>
    </row>
  </sheetData>
  <mergeCells count="1">
    <mergeCell ref="A1:J1"/>
  </mergeCells>
  <conditionalFormatting sqref="E6:F24">
    <cfRule type="expression" dxfId="0" priority="1">
      <formula>AND(ISNUMBER(E6),E6&lt;$C$3)</formula>
    </cfRule>
  </conditionalFormatting>
  <dataValidations count="1">
    <dataValidation type="list" sqref="I6:I24" xr:uid="{00000000-0002-0000-0000-000000000000}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8" customWidth="1"/>
    <col min="2" max="2" width="24" customWidth="1"/>
    <col min="3" max="3" width="70" customWidth="1"/>
  </cols>
  <sheetData>
    <row r="1" spans="1:3" ht="24" customHeight="1" x14ac:dyDescent="0.3">
      <c r="A1" s="16" t="s">
        <v>64</v>
      </c>
      <c r="B1" s="17"/>
      <c r="C1" s="17"/>
    </row>
    <row r="4" spans="1:3" ht="30" customHeight="1" x14ac:dyDescent="0.3">
      <c r="A4" s="4" t="s">
        <v>65</v>
      </c>
      <c r="B4" s="4" t="s">
        <v>66</v>
      </c>
      <c r="C4" s="4" t="s">
        <v>67</v>
      </c>
    </row>
    <row r="5" spans="1:3" x14ac:dyDescent="0.3">
      <c r="A5" s="8" t="s">
        <v>0</v>
      </c>
      <c r="B5" s="13">
        <f>Plan!C2</f>
        <v>46318</v>
      </c>
      <c r="C5" s="8" t="s">
        <v>68</v>
      </c>
    </row>
    <row r="6" spans="1:3" x14ac:dyDescent="0.3">
      <c r="A6" s="8" t="s">
        <v>1</v>
      </c>
      <c r="B6" s="13">
        <f>Plan!C3</f>
        <v>0</v>
      </c>
      <c r="C6" s="8" t="s">
        <v>68</v>
      </c>
    </row>
    <row r="7" spans="1:3" x14ac:dyDescent="0.3">
      <c r="A7" s="8" t="s">
        <v>69</v>
      </c>
      <c r="B7" s="14">
        <f>NETWORKDAYS(Plan!C3,Plan!C2)</f>
        <v>33085</v>
      </c>
      <c r="C7" s="8" t="s">
        <v>70</v>
      </c>
    </row>
    <row r="8" spans="1:3" x14ac:dyDescent="0.3">
      <c r="A8" s="8" t="s">
        <v>71</v>
      </c>
      <c r="B8" s="13">
        <f>MIN(Plan!E6:E24)</f>
        <v>46302</v>
      </c>
      <c r="C8" s="8" t="s">
        <v>72</v>
      </c>
    </row>
    <row r="9" spans="1:3" x14ac:dyDescent="0.3">
      <c r="A9" s="8" t="s">
        <v>73</v>
      </c>
      <c r="B9" s="14">
        <f>NETWORKDAYS(MIN(Plan!E6:E24),Plan!C2)</f>
        <v>13</v>
      </c>
      <c r="C9" s="8" t="s">
        <v>74</v>
      </c>
    </row>
    <row r="10" spans="1:3" x14ac:dyDescent="0.3">
      <c r="A10" s="8" t="s">
        <v>75</v>
      </c>
      <c r="B10" s="14">
        <f>MAX(0,B9-B7)</f>
        <v>0</v>
      </c>
      <c r="C10" s="8" t="s">
        <v>76</v>
      </c>
    </row>
    <row r="11" spans="1:3" x14ac:dyDescent="0.3">
      <c r="A11" s="8" t="s">
        <v>77</v>
      </c>
      <c r="B11" s="13">
        <f>WORKDAY(B6,B9-1)</f>
        <v>17</v>
      </c>
      <c r="C11" s="8" t="s">
        <v>78</v>
      </c>
    </row>
    <row r="13" spans="1:3" x14ac:dyDescent="0.3">
      <c r="A13" s="1" t="s">
        <v>79</v>
      </c>
    </row>
    <row r="14" spans="1:3" x14ac:dyDescent="0.3">
      <c r="A14" s="15" t="s">
        <v>80</v>
      </c>
    </row>
    <row r="15" spans="1:3" x14ac:dyDescent="0.3">
      <c r="A15" s="15" t="s">
        <v>81</v>
      </c>
    </row>
    <row r="16" spans="1:3" x14ac:dyDescent="0.3">
      <c r="A16" s="15" t="s">
        <v>82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7" customWidth="1"/>
    <col min="2" max="2" width="46" customWidth="1"/>
    <col min="3" max="3" width="14" customWidth="1"/>
    <col min="4" max="4" width="20" customWidth="1"/>
    <col min="5" max="5" width="50" customWidth="1"/>
    <col min="6" max="6" width="12" customWidth="1"/>
    <col min="7" max="7" width="14" customWidth="1"/>
    <col min="8" max="8" width="48" customWidth="1"/>
  </cols>
  <sheetData>
    <row r="1" spans="1:8" ht="24" customHeight="1" x14ac:dyDescent="0.3">
      <c r="A1" s="16" t="s">
        <v>83</v>
      </c>
      <c r="B1" s="17"/>
      <c r="C1" s="17"/>
      <c r="D1" s="17"/>
      <c r="E1" s="17"/>
      <c r="F1" s="17"/>
      <c r="G1" s="17"/>
      <c r="H1" s="17"/>
    </row>
    <row r="4" spans="1:8" ht="30" customHeight="1" x14ac:dyDescent="0.3">
      <c r="A4" s="4" t="s">
        <v>2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9</v>
      </c>
      <c r="G4" s="4" t="s">
        <v>10</v>
      </c>
      <c r="H4" s="4" t="s">
        <v>11</v>
      </c>
    </row>
    <row r="5" spans="1:8" x14ac:dyDescent="0.3">
      <c r="A5" s="7">
        <v>1</v>
      </c>
      <c r="B5" s="8" t="s">
        <v>88</v>
      </c>
      <c r="C5" s="7" t="s">
        <v>89</v>
      </c>
      <c r="D5" s="8" t="s">
        <v>90</v>
      </c>
      <c r="E5" s="8" t="s">
        <v>91</v>
      </c>
      <c r="F5" s="7" t="s">
        <v>15</v>
      </c>
      <c r="G5" s="7" t="s">
        <v>16</v>
      </c>
      <c r="H5" s="8" t="s">
        <v>92</v>
      </c>
    </row>
    <row r="6" spans="1:8" x14ac:dyDescent="0.3">
      <c r="A6" s="7">
        <v>2</v>
      </c>
      <c r="B6" s="8" t="s">
        <v>93</v>
      </c>
      <c r="C6" s="7" t="s">
        <v>89</v>
      </c>
      <c r="D6" s="8" t="s">
        <v>94</v>
      </c>
      <c r="E6" s="8" t="s">
        <v>95</v>
      </c>
      <c r="F6" s="7" t="s">
        <v>15</v>
      </c>
      <c r="G6" s="7" t="s">
        <v>16</v>
      </c>
      <c r="H6" s="8" t="s">
        <v>96</v>
      </c>
    </row>
    <row r="7" spans="1:8" ht="28.8" x14ac:dyDescent="0.3">
      <c r="A7" s="7">
        <v>3</v>
      </c>
      <c r="B7" s="8" t="s">
        <v>97</v>
      </c>
      <c r="C7" s="7" t="s">
        <v>89</v>
      </c>
      <c r="D7" s="8" t="s">
        <v>98</v>
      </c>
      <c r="E7" s="8" t="s">
        <v>99</v>
      </c>
      <c r="F7" s="7" t="s">
        <v>15</v>
      </c>
      <c r="G7" s="7" t="s">
        <v>16</v>
      </c>
      <c r="H7" s="8"/>
    </row>
    <row r="8" spans="1:8" x14ac:dyDescent="0.3">
      <c r="A8" s="7">
        <v>4</v>
      </c>
      <c r="B8" s="8" t="s">
        <v>100</v>
      </c>
      <c r="C8" s="7" t="s">
        <v>89</v>
      </c>
      <c r="D8" s="8" t="s">
        <v>101</v>
      </c>
      <c r="E8" s="8" t="s">
        <v>102</v>
      </c>
      <c r="F8" s="7" t="s">
        <v>15</v>
      </c>
      <c r="G8" s="7" t="s">
        <v>16</v>
      </c>
      <c r="H8" s="8" t="s">
        <v>103</v>
      </c>
    </row>
    <row r="9" spans="1:8" x14ac:dyDescent="0.3">
      <c r="A9" s="7">
        <v>5</v>
      </c>
      <c r="B9" s="8" t="s">
        <v>104</v>
      </c>
      <c r="C9" s="7" t="s">
        <v>89</v>
      </c>
      <c r="D9" s="8" t="s">
        <v>101</v>
      </c>
      <c r="E9" s="8" t="s">
        <v>105</v>
      </c>
      <c r="F9" s="7" t="s">
        <v>15</v>
      </c>
      <c r="G9" s="7" t="s">
        <v>16</v>
      </c>
      <c r="H9" s="8" t="s">
        <v>106</v>
      </c>
    </row>
    <row r="10" spans="1:8" x14ac:dyDescent="0.3">
      <c r="A10" s="7">
        <v>6</v>
      </c>
      <c r="B10" s="8" t="s">
        <v>107</v>
      </c>
      <c r="C10" s="7" t="s">
        <v>89</v>
      </c>
      <c r="D10" s="8" t="s">
        <v>108</v>
      </c>
      <c r="E10" s="8" t="s">
        <v>109</v>
      </c>
      <c r="F10" s="7" t="s">
        <v>15</v>
      </c>
      <c r="G10" s="7" t="s">
        <v>16</v>
      </c>
      <c r="H10" s="8" t="s">
        <v>110</v>
      </c>
    </row>
    <row r="11" spans="1:8" x14ac:dyDescent="0.3">
      <c r="A11" s="7">
        <v>7</v>
      </c>
      <c r="B11" s="8" t="s">
        <v>111</v>
      </c>
      <c r="C11" s="7" t="s">
        <v>89</v>
      </c>
      <c r="D11" s="8" t="s">
        <v>15</v>
      </c>
      <c r="E11" s="8" t="s">
        <v>112</v>
      </c>
      <c r="F11" s="7" t="s">
        <v>15</v>
      </c>
      <c r="G11" s="7" t="s">
        <v>16</v>
      </c>
      <c r="H11" s="8" t="s">
        <v>113</v>
      </c>
    </row>
    <row r="12" spans="1:8" x14ac:dyDescent="0.3">
      <c r="A12" s="7">
        <v>8</v>
      </c>
      <c r="B12" s="8" t="s">
        <v>114</v>
      </c>
      <c r="C12" s="7" t="s">
        <v>115</v>
      </c>
      <c r="D12" s="8" t="s">
        <v>15</v>
      </c>
      <c r="E12" s="8" t="s">
        <v>116</v>
      </c>
      <c r="F12" s="7" t="s">
        <v>15</v>
      </c>
      <c r="G12" s="7" t="s">
        <v>16</v>
      </c>
      <c r="H12" s="8" t="s">
        <v>117</v>
      </c>
    </row>
    <row r="13" spans="1:8" x14ac:dyDescent="0.3">
      <c r="A13" s="7">
        <v>9</v>
      </c>
      <c r="B13" s="8" t="s">
        <v>118</v>
      </c>
      <c r="C13" s="7" t="s">
        <v>115</v>
      </c>
      <c r="D13" s="8" t="s">
        <v>119</v>
      </c>
      <c r="E13" s="8" t="s">
        <v>120</v>
      </c>
      <c r="F13" s="7" t="s">
        <v>15</v>
      </c>
      <c r="G13" s="7" t="s">
        <v>16</v>
      </c>
      <c r="H13" s="8" t="s">
        <v>121</v>
      </c>
    </row>
    <row r="14" spans="1:8" x14ac:dyDescent="0.3">
      <c r="A14" s="7">
        <v>10</v>
      </c>
      <c r="B14" s="8" t="s">
        <v>122</v>
      </c>
      <c r="C14" s="7" t="s">
        <v>123</v>
      </c>
      <c r="D14" s="8" t="s">
        <v>119</v>
      </c>
      <c r="E14" s="8" t="s">
        <v>124</v>
      </c>
      <c r="F14" s="7" t="s">
        <v>15</v>
      </c>
      <c r="G14" s="7" t="s">
        <v>16</v>
      </c>
      <c r="H14" s="8" t="s">
        <v>125</v>
      </c>
    </row>
    <row r="15" spans="1:8" x14ac:dyDescent="0.3">
      <c r="A15" s="7">
        <v>11</v>
      </c>
      <c r="B15" s="8" t="s">
        <v>126</v>
      </c>
      <c r="C15" s="7" t="s">
        <v>115</v>
      </c>
      <c r="D15" s="8" t="s">
        <v>119</v>
      </c>
      <c r="E15" s="8" t="s">
        <v>127</v>
      </c>
      <c r="F15" s="7" t="s">
        <v>15</v>
      </c>
      <c r="G15" s="7" t="s">
        <v>16</v>
      </c>
      <c r="H15" s="8" t="s">
        <v>128</v>
      </c>
    </row>
  </sheetData>
  <mergeCells count="1">
    <mergeCell ref="A1:H1"/>
  </mergeCells>
  <dataValidations count="1">
    <dataValidation type="list" sqref="G5:G15" xr:uid="{00000000-0002-0000-0200-000000000000}">
      <formula1>"Not Started,In Progress,Done,Blocked"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7" customWidth="1"/>
    <col min="2" max="2" width="28" customWidth="1"/>
    <col min="3" max="3" width="64" customWidth="1"/>
    <col min="4" max="4" width="50" customWidth="1"/>
    <col min="5" max="5" width="12" customWidth="1"/>
  </cols>
  <sheetData>
    <row r="1" spans="1:5" ht="24" customHeight="1" x14ac:dyDescent="0.3">
      <c r="A1" s="16" t="s">
        <v>129</v>
      </c>
      <c r="B1" s="17"/>
      <c r="C1" s="17"/>
      <c r="D1" s="17"/>
      <c r="E1" s="17"/>
    </row>
    <row r="4" spans="1:5" ht="30" customHeight="1" x14ac:dyDescent="0.3">
      <c r="A4" s="4" t="s">
        <v>2</v>
      </c>
      <c r="B4" s="4" t="s">
        <v>130</v>
      </c>
      <c r="C4" s="4" t="s">
        <v>131</v>
      </c>
      <c r="D4" s="4" t="s">
        <v>132</v>
      </c>
      <c r="E4" s="4" t="s">
        <v>133</v>
      </c>
    </row>
    <row r="5" spans="1:5" x14ac:dyDescent="0.3">
      <c r="A5" s="7">
        <v>1</v>
      </c>
      <c r="B5" s="8" t="s">
        <v>134</v>
      </c>
      <c r="C5" s="8" t="s">
        <v>135</v>
      </c>
      <c r="D5" s="8" t="s">
        <v>136</v>
      </c>
      <c r="E5" s="7">
        <v>2</v>
      </c>
    </row>
    <row r="6" spans="1:5" x14ac:dyDescent="0.3">
      <c r="A6" s="7">
        <v>2</v>
      </c>
      <c r="B6" s="8" t="s">
        <v>137</v>
      </c>
      <c r="C6" s="8" t="s">
        <v>138</v>
      </c>
      <c r="D6" s="8" t="s">
        <v>139</v>
      </c>
      <c r="E6" s="7">
        <v>2</v>
      </c>
    </row>
    <row r="7" spans="1:5" x14ac:dyDescent="0.3">
      <c r="A7" s="7">
        <v>3</v>
      </c>
      <c r="B7" s="8" t="s">
        <v>22</v>
      </c>
      <c r="C7" s="8" t="s">
        <v>140</v>
      </c>
      <c r="D7" s="8" t="s">
        <v>141</v>
      </c>
      <c r="E7" s="7">
        <v>3</v>
      </c>
    </row>
    <row r="8" spans="1:5" x14ac:dyDescent="0.3">
      <c r="A8" s="7">
        <v>4</v>
      </c>
      <c r="B8" s="8" t="s">
        <v>142</v>
      </c>
      <c r="C8" s="8" t="s">
        <v>143</v>
      </c>
      <c r="D8" s="8" t="s">
        <v>144</v>
      </c>
      <c r="E8" s="7">
        <v>3</v>
      </c>
    </row>
    <row r="9" spans="1:5" x14ac:dyDescent="0.3">
      <c r="A9" s="7">
        <v>5</v>
      </c>
      <c r="B9" s="8" t="s">
        <v>145</v>
      </c>
      <c r="C9" s="8" t="s">
        <v>146</v>
      </c>
      <c r="D9" s="8" t="s">
        <v>147</v>
      </c>
      <c r="E9" s="7">
        <v>4</v>
      </c>
    </row>
    <row r="10" spans="1:5" ht="28.8" x14ac:dyDescent="0.3">
      <c r="A10" s="7">
        <v>6</v>
      </c>
      <c r="B10" s="8" t="s">
        <v>148</v>
      </c>
      <c r="C10" s="8" t="s">
        <v>149</v>
      </c>
      <c r="D10" s="8" t="s">
        <v>150</v>
      </c>
      <c r="E10" s="7">
        <v>5</v>
      </c>
    </row>
    <row r="11" spans="1:5" x14ac:dyDescent="0.3">
      <c r="A11" s="7">
        <v>7</v>
      </c>
      <c r="B11" s="8" t="s">
        <v>151</v>
      </c>
      <c r="C11" s="8" t="s">
        <v>152</v>
      </c>
      <c r="D11" s="8" t="s">
        <v>153</v>
      </c>
      <c r="E11" s="7">
        <v>6</v>
      </c>
    </row>
    <row r="12" spans="1:5" x14ac:dyDescent="0.3">
      <c r="A12" s="7">
        <v>8</v>
      </c>
      <c r="B12" s="8" t="s">
        <v>154</v>
      </c>
      <c r="C12" s="8" t="s">
        <v>155</v>
      </c>
      <c r="D12" s="8" t="s">
        <v>156</v>
      </c>
      <c r="E12" s="7">
        <v>7</v>
      </c>
    </row>
    <row r="13" spans="1:5" x14ac:dyDescent="0.3">
      <c r="A13" s="7">
        <v>9</v>
      </c>
      <c r="B13" s="8" t="s">
        <v>157</v>
      </c>
      <c r="C13" s="8" t="s">
        <v>158</v>
      </c>
      <c r="D13" s="8" t="s">
        <v>159</v>
      </c>
      <c r="E13" s="7">
        <v>8</v>
      </c>
    </row>
    <row r="14" spans="1:5" x14ac:dyDescent="0.3">
      <c r="A14" s="7">
        <v>10</v>
      </c>
      <c r="B14" s="8" t="s">
        <v>160</v>
      </c>
      <c r="C14" s="8" t="s">
        <v>161</v>
      </c>
      <c r="D14" s="8" t="s">
        <v>162</v>
      </c>
      <c r="E14" s="7">
        <v>8</v>
      </c>
    </row>
    <row r="15" spans="1:5" x14ac:dyDescent="0.3">
      <c r="A15" s="7">
        <v>11</v>
      </c>
      <c r="B15" s="8" t="s">
        <v>163</v>
      </c>
      <c r="C15" s="8" t="s">
        <v>164</v>
      </c>
      <c r="D15" s="8" t="s">
        <v>165</v>
      </c>
      <c r="E15" s="7">
        <v>9</v>
      </c>
    </row>
    <row r="16" spans="1:5" x14ac:dyDescent="0.3">
      <c r="A16" s="7">
        <v>12</v>
      </c>
      <c r="B16" s="8" t="s">
        <v>166</v>
      </c>
      <c r="C16" s="8" t="s">
        <v>167</v>
      </c>
      <c r="D16" s="8" t="s">
        <v>168</v>
      </c>
      <c r="E16" s="7">
        <v>10</v>
      </c>
    </row>
    <row r="18" spans="1:1" x14ac:dyDescent="0.3">
      <c r="A18" s="12" t="s">
        <v>169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7" customWidth="1"/>
    <col min="2" max="2" width="50" customWidth="1"/>
    <col min="3" max="3" width="10" customWidth="1"/>
    <col min="4" max="4" width="12" customWidth="1"/>
    <col min="5" max="5" width="70" customWidth="1"/>
    <col min="6" max="7" width="12" customWidth="1"/>
  </cols>
  <sheetData>
    <row r="1" spans="1:7" ht="24" customHeight="1" x14ac:dyDescent="0.3">
      <c r="A1" s="16" t="s">
        <v>170</v>
      </c>
      <c r="B1" s="17"/>
      <c r="C1" s="17"/>
      <c r="D1" s="17"/>
      <c r="E1" s="17"/>
      <c r="F1" s="17"/>
      <c r="G1" s="17"/>
    </row>
    <row r="4" spans="1:7" ht="30" customHeight="1" x14ac:dyDescent="0.3">
      <c r="A4" s="4" t="s">
        <v>2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9</v>
      </c>
      <c r="G4" s="4" t="s">
        <v>10</v>
      </c>
    </row>
    <row r="5" spans="1:7" ht="43.2" x14ac:dyDescent="0.3">
      <c r="A5" s="7">
        <v>1</v>
      </c>
      <c r="B5" s="8" t="s">
        <v>175</v>
      </c>
      <c r="C5" s="7" t="s">
        <v>176</v>
      </c>
      <c r="D5" s="7" t="s">
        <v>176</v>
      </c>
      <c r="E5" s="8" t="s">
        <v>177</v>
      </c>
      <c r="F5" s="7" t="s">
        <v>15</v>
      </c>
      <c r="G5" s="7" t="s">
        <v>178</v>
      </c>
    </row>
    <row r="6" spans="1:7" x14ac:dyDescent="0.3">
      <c r="A6" s="7">
        <v>2</v>
      </c>
      <c r="B6" s="8" t="s">
        <v>179</v>
      </c>
      <c r="C6" s="7" t="s">
        <v>176</v>
      </c>
      <c r="D6" s="7" t="s">
        <v>176</v>
      </c>
      <c r="E6" s="8" t="s">
        <v>180</v>
      </c>
      <c r="F6" s="7" t="s">
        <v>15</v>
      </c>
      <c r="G6" s="7" t="s">
        <v>178</v>
      </c>
    </row>
    <row r="7" spans="1:7" x14ac:dyDescent="0.3">
      <c r="A7" s="7">
        <v>3</v>
      </c>
      <c r="B7" s="8" t="s">
        <v>181</v>
      </c>
      <c r="C7" s="7" t="s">
        <v>182</v>
      </c>
      <c r="D7" s="7" t="s">
        <v>182</v>
      </c>
      <c r="E7" s="8" t="s">
        <v>183</v>
      </c>
      <c r="F7" s="7" t="s">
        <v>15</v>
      </c>
      <c r="G7" s="7" t="s">
        <v>178</v>
      </c>
    </row>
    <row r="8" spans="1:7" x14ac:dyDescent="0.3">
      <c r="A8" s="7">
        <v>4</v>
      </c>
      <c r="B8" s="8" t="s">
        <v>184</v>
      </c>
      <c r="C8" s="7" t="s">
        <v>176</v>
      </c>
      <c r="D8" s="7" t="s">
        <v>182</v>
      </c>
      <c r="E8" s="8" t="s">
        <v>185</v>
      </c>
      <c r="F8" s="7" t="s">
        <v>15</v>
      </c>
      <c r="G8" s="7" t="s">
        <v>178</v>
      </c>
    </row>
    <row r="9" spans="1:7" x14ac:dyDescent="0.3">
      <c r="A9" s="7">
        <v>5</v>
      </c>
      <c r="B9" s="8" t="s">
        <v>186</v>
      </c>
      <c r="C9" s="7" t="s">
        <v>182</v>
      </c>
      <c r="D9" s="7" t="s">
        <v>182</v>
      </c>
      <c r="E9" s="8" t="s">
        <v>187</v>
      </c>
      <c r="F9" s="7" t="s">
        <v>15</v>
      </c>
      <c r="G9" s="7" t="s">
        <v>178</v>
      </c>
    </row>
    <row r="10" spans="1:7" x14ac:dyDescent="0.3">
      <c r="A10" s="7">
        <v>6</v>
      </c>
      <c r="B10" s="8" t="s">
        <v>188</v>
      </c>
      <c r="C10" s="7" t="s">
        <v>182</v>
      </c>
      <c r="D10" s="7" t="s">
        <v>182</v>
      </c>
      <c r="E10" s="8" t="s">
        <v>189</v>
      </c>
      <c r="F10" s="7" t="s">
        <v>15</v>
      </c>
      <c r="G10" s="7" t="s">
        <v>178</v>
      </c>
    </row>
    <row r="11" spans="1:7" x14ac:dyDescent="0.3">
      <c r="A11" s="7">
        <v>7</v>
      </c>
      <c r="B11" s="8" t="s">
        <v>190</v>
      </c>
      <c r="C11" s="7" t="s">
        <v>182</v>
      </c>
      <c r="D11" s="7" t="s">
        <v>182</v>
      </c>
      <c r="E11" s="8" t="s">
        <v>191</v>
      </c>
      <c r="F11" s="7" t="s">
        <v>15</v>
      </c>
      <c r="G11" s="7" t="s">
        <v>178</v>
      </c>
    </row>
    <row r="12" spans="1:7" x14ac:dyDescent="0.3">
      <c r="A12" s="7">
        <v>8</v>
      </c>
      <c r="B12" s="8" t="s">
        <v>192</v>
      </c>
      <c r="C12" s="7" t="s">
        <v>182</v>
      </c>
      <c r="D12" s="7" t="s">
        <v>182</v>
      </c>
      <c r="E12" s="8" t="s">
        <v>193</v>
      </c>
      <c r="F12" s="7" t="s">
        <v>15</v>
      </c>
      <c r="G12" s="7" t="s">
        <v>178</v>
      </c>
    </row>
    <row r="13" spans="1:7" x14ac:dyDescent="0.3">
      <c r="A13" s="7">
        <v>9</v>
      </c>
      <c r="B13" s="8" t="s">
        <v>194</v>
      </c>
      <c r="C13" s="7" t="s">
        <v>195</v>
      </c>
      <c r="D13" s="7" t="s">
        <v>176</v>
      </c>
      <c r="E13" s="8" t="s">
        <v>196</v>
      </c>
      <c r="F13" s="7" t="s">
        <v>15</v>
      </c>
      <c r="G13" s="7" t="s">
        <v>178</v>
      </c>
    </row>
    <row r="15" spans="1:7" x14ac:dyDescent="0.3">
      <c r="A15" s="12" t="s">
        <v>197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</vt:lpstr>
      <vt:lpstr>Backtrack</vt:lpstr>
      <vt:lpstr>Config Checklist</vt:lpstr>
      <vt:lpstr>Modules</vt:lpstr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Cw 8363</cp:lastModifiedBy>
  <dcterms:created xsi:type="dcterms:W3CDTF">2026-10-15T11:34:06Z</dcterms:created>
  <dcterms:modified xsi:type="dcterms:W3CDTF">2026-10-15T11:39:16Z</dcterms:modified>
</cp:coreProperties>
</file>